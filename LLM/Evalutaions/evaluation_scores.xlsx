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sheetId="1" r:id="rId4"/>
    <sheet state="visible" name="Rubric" sheetId="2" r:id="rId5"/>
  </sheets>
  <definedNames/>
  <calcPr/>
  <extLst>
    <ext uri="GoogleSheetsCustomDataVersion2">
      <go:sheetsCustomData xmlns:go="http://customooxmlschemas.google.com/" r:id="rId6" roundtripDataChecksum="FC92/k89hDDRUCdLGwuLDJIq8F4NqZxqeCK76t5usF8="/>
    </ext>
  </extLst>
</workbook>
</file>

<file path=xl/sharedStrings.xml><?xml version="1.0" encoding="utf-8"?>
<sst xmlns="http://schemas.openxmlformats.org/spreadsheetml/2006/main" count="96" uniqueCount="91">
  <si>
    <t>Case</t>
  </si>
  <si>
    <t>FT Beslut
(0–2)</t>
  </si>
  <si>
    <t>FT Majoritet
(0–2)</t>
  </si>
  <si>
    <t>FT Logik
(0–2)</t>
  </si>
  <si>
    <t>FT Inputkoppling
(0–2)</t>
  </si>
  <si>
    <t>FT Språk
(0–2)</t>
  </si>
  <si>
    <t>FT Total
(0–10)</t>
  </si>
  <si>
    <t>Bas Beslut
(0–2)</t>
  </si>
  <si>
    <t>Bas Majoritet
(0–2)</t>
  </si>
  <si>
    <t>Bas Logik
(0–2)</t>
  </si>
  <si>
    <t>Bas Inputkoppling
(0–2)</t>
  </si>
  <si>
    <t>Bas Språk
(0–2)</t>
  </si>
  <si>
    <t>Bas Total
(0–10)</t>
  </si>
  <si>
    <t>Skillnad
(FT-Bas)</t>
  </si>
  <si>
    <t>Kommentar</t>
  </si>
  <si>
    <t>Case 1</t>
  </si>
  <si>
    <t>Båda svar är rimliga men ingen matchar tränarnas svar helt. FT lyckas ge en specifik träningsrekommendation</t>
  </si>
  <si>
    <t>Case 2</t>
  </si>
  <si>
    <t>FT ligger närmare facit. Bas ger endast generella råd och rekommenderar inte att passet ska genomföras med sänkt tempo</t>
  </si>
  <si>
    <t>Case 3</t>
  </si>
  <si>
    <t>FT ligger tydligt inom facit-spannet medan bas inte rekommenderar att passet för justeras bort från tröskel</t>
  </si>
  <si>
    <t>Case 4</t>
  </si>
  <si>
    <t>FTs rekommendation låg inte i linje med fact. Bas låg delvis i linje men gav inte en definitiv rekommendation</t>
  </si>
  <si>
    <t>Case 5</t>
  </si>
  <si>
    <t>FT verkar generellt sätt ha problem vid att ta beslut som är defenitiva som inte handlar om att justera ett pass, såsom att rekommendera att avstå ett pass (vila)</t>
  </si>
  <si>
    <t>Case 6</t>
  </si>
  <si>
    <t>FT presterar bättre i detta fall då det beröde en skada eller belastningssignal där försiktighet krävs</t>
  </si>
  <si>
    <t>Case 7</t>
  </si>
  <si>
    <t>Båda svar är i linje med facit. FT sämre språk då det gav ett lista-svar</t>
  </si>
  <si>
    <t>Case 8</t>
  </si>
  <si>
    <t>FT i linje med facit. Bas ger inte ett tydligt beslut</t>
  </si>
  <si>
    <t>Case 9</t>
  </si>
  <si>
    <t>FT och bas väljer felaktigt att behålla passet men sänka intensiteten när facit var att byta typ av pass eller avstå.</t>
  </si>
  <si>
    <t>Case 10</t>
  </si>
  <si>
    <t>Case 11</t>
  </si>
  <si>
    <t>Case 12</t>
  </si>
  <si>
    <t>Bas modellen ger generella resonomang men tar inget beslut</t>
  </si>
  <si>
    <t>Case 13</t>
  </si>
  <si>
    <t>Båda modellernas svar ligger delvis inom rimlig linje med facit. Bas ger däremot inte en tydlig rekommendation och tar upp saker som inte är kopplat till input</t>
  </si>
  <si>
    <t>Case 14</t>
  </si>
  <si>
    <t>Båda modellerna uppmanar förskiktighet när facit tydligt säger att passet ska genomföras. FT har bättre koppling till input. Bas ställer mest frågor och kommer inte riktigt fram till något</t>
  </si>
  <si>
    <t>Case 15</t>
  </si>
  <si>
    <t>Båda modellerna tar fel beslut. De är för försiktiga och felaktigt bedömmer att inte genomföra det planerade passet som majoritet av facit föreslår. FT är däremot bättre i detta fal på att ta ett beslut gentemot bas</t>
  </si>
  <si>
    <t>Case 16</t>
  </si>
  <si>
    <t>FTs rekommenation ligger i linje med 50% av tränarnas rekommendationer. Bas ställer frågor och kommer inte fram till ett beslut</t>
  </si>
  <si>
    <t>Case 17</t>
  </si>
  <si>
    <t>FT väljer fel beslut, är för försiktig. Bas beslut är mer åt rätt riktning.</t>
  </si>
  <si>
    <t>Case 18</t>
  </si>
  <si>
    <t>I detta fallet gav båda modellerna nästan identiska svar. Motsägelse i början att de inte kan ge råd och ger sedan råd. Därför 0/2 för språket och logik</t>
  </si>
  <si>
    <t>Case 19</t>
  </si>
  <si>
    <t>FT väljer helt rätt beslut. Bas har utdragna formuleringar utan att komma till ett snabbt beslut</t>
  </si>
  <si>
    <t>Case 20</t>
  </si>
  <si>
    <t>Båda modellerna väljer fel rekommendation då det är för försiktiga. Väljer felaktigt vila över att minska intensitet</t>
  </si>
  <si>
    <t>Skala</t>
  </si>
  <si>
    <t>0 = fel/ingen koppling, 1 = delvis, 2 = tydligt/rimligt</t>
  </si>
  <si>
    <t>Sammanfattning</t>
  </si>
  <si>
    <t>Medel FT Total</t>
  </si>
  <si>
    <t>Medel Bas Total</t>
  </si>
  <si>
    <t>Medel skillnad (FT-Bas)</t>
  </si>
  <si>
    <t>Antal case där FT &gt; Bas</t>
  </si>
  <si>
    <t>Antal case där FT = Bas</t>
  </si>
  <si>
    <t>Antal case där FT &lt; Bas</t>
  </si>
  <si>
    <t>Kriterium</t>
  </si>
  <si>
    <t>Finjusterad</t>
  </si>
  <si>
    <t>Bas</t>
  </si>
  <si>
    <t>Beslut</t>
  </si>
  <si>
    <t>Majoritet</t>
  </si>
  <si>
    <t>Logik</t>
  </si>
  <si>
    <t>Inputkoppling</t>
  </si>
  <si>
    <t>Språk</t>
  </si>
  <si>
    <t>Metric</t>
  </si>
  <si>
    <t>0 poäng</t>
  </si>
  <si>
    <t>1 poäng</t>
  </si>
  <si>
    <t>2 poäng</t>
  </si>
  <si>
    <t>Orimligt beslut</t>
  </si>
  <si>
    <t>Delvis rimligt</t>
  </si>
  <si>
    <t>Rimligt enligt tränarsvar/spann</t>
  </si>
  <si>
    <t>Utanför tränarnas svar</t>
  </si>
  <si>
    <t>Matchar minoritet</t>
  </si>
  <si>
    <t>Matchar majoritet</t>
  </si>
  <si>
    <t>Ingen/fel logik</t>
  </si>
  <si>
    <t>Delvis logik</t>
  </si>
  <si>
    <t>Tydlig och korrekt logik</t>
  </si>
  <si>
    <t>Ignorerar viktig input</t>
  </si>
  <si>
    <t>Tar upp vissa delar</t>
  </si>
  <si>
    <t>Tar upp flera centrala delar</t>
  </si>
  <si>
    <t>Otydligt/konstigt</t>
  </si>
  <si>
    <t>Okej men svagt</t>
  </si>
  <si>
    <t>Tydligt och välstrukturerat</t>
  </si>
  <si>
    <t>Notering för motsägelsefulla tränarsvar</t>
  </si>
  <si>
    <t>Om tränarna inte är överens kan flera utfall vara acceptabla. Ge då full poäng på 'Beslut' om modellens rekommendation ligger inom det rimliga spannet, men använd 'Majoritet' för att skilja mellan majoritet och minoritet.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</si>
</sst>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rgb="FFFFFFFF"/>
      <name val="Calibri"/>
      <scheme val="minor"/>
    </font>
    <font>
      <sz val="11.0"/>
      <color theme="1"/>
      <name val="Calibri"/>
    </font>
    <font>
      <color rgb="FF000000"/>
      <name val="Calibri"/>
      <scheme val="minor"/>
    </font>
    <font>
      <b/>
      <color theme="1"/>
      <name val="Calibri"/>
      <scheme val="minor"/>
    </font>
    <font>
      <color theme="1"/>
      <name val="Calibri"/>
      <scheme val="minor"/>
    </font>
  </fonts>
  <fills count="4">
    <fill>
      <patternFill patternType="none"/>
    </fill>
    <fill>
      <patternFill patternType="lightGray"/>
    </fill>
    <fill>
      <patternFill patternType="solid">
        <fgColor rgb="FF1F4E78"/>
        <bgColor rgb="FF1F4E78"/>
      </patternFill>
    </fill>
    <fill>
      <patternFill patternType="solid">
        <fgColor rgb="FF4F81BD"/>
        <bgColor rgb="FF4F81BD"/>
      </patternFill>
    </fill>
  </fills>
  <borders count="3">
    <border/>
    <border>
      <bottom style="thin">
        <color rgb="FFD9D9D9"/>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1" fillId="0" fontId="3" numFmtId="0" xfId="0" applyAlignment="1" applyBorder="1" applyFont="1">
      <alignment horizontal="center" readingOrder="0"/>
    </xf>
    <xf borderId="1" fillId="0" fontId="3" numFmtId="0" xfId="0" applyAlignment="1" applyBorder="1" applyFont="1">
      <alignment horizontal="center"/>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0" fillId="0" fontId="4" numFmtId="0" xfId="0" applyFont="1"/>
    <xf borderId="0" fillId="0" fontId="2" numFmtId="0" xfId="0" applyAlignment="1" applyFont="1">
      <alignment shrinkToFit="0" wrapText="1"/>
    </xf>
    <xf borderId="0" fillId="0" fontId="3" numFmtId="0" xfId="0" applyFont="1"/>
    <xf borderId="2" fillId="3" fontId="1" numFmtId="0" xfId="0" applyAlignment="1" applyBorder="1" applyFill="1" applyFont="1">
      <alignment horizontal="left"/>
    </xf>
    <xf borderId="0" fillId="0" fontId="3" numFmtId="0" xfId="0" applyAlignment="1" applyFont="1">
      <alignment horizontal="center"/>
    </xf>
    <xf borderId="0" fillId="0" fontId="5" numFmtId="0" xfId="0" applyFont="1"/>
    <xf borderId="0" fillId="0" fontId="5" numFmtId="0" xfId="0" applyAlignment="1" applyFont="1">
      <alignment readingOrder="0"/>
    </xf>
    <xf borderId="0" fillId="0" fontId="5" numFmtId="0" xfId="0" applyFont="1"/>
    <xf borderId="2" fillId="2" fontId="1" numFmtId="0" xfId="0" applyAlignment="1" applyBorder="1" applyFont="1">
      <alignment horizontal="center" shrinkToFit="0" vertical="center" wrapText="1"/>
    </xf>
    <xf borderId="0" fillId="0" fontId="4" numFmtId="0" xfId="0" applyAlignment="1" applyFont="1">
      <alignment shrinkToFit="0" vertical="top" wrapText="1"/>
    </xf>
    <xf borderId="0" fillId="0" fontId="2" numFmtId="0" xfId="0" applyAlignment="1" applyFont="1">
      <alignment shrinkToFit="0" vertical="top" wrapText="1"/>
    </xf>
    <xf borderId="2" fillId="3"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Scoring!$B$35</c:f>
            </c:strRef>
          </c:tx>
          <c:spPr>
            <a:solidFill>
              <a:srgbClr val="1F4E78"/>
            </a:solidFill>
            <a:ln cmpd="sng">
              <a:solidFill>
                <a:srgbClr val="000000"/>
              </a:solidFill>
            </a:ln>
          </c:spPr>
          <c:dPt>
            <c:idx val="0"/>
          </c:dPt>
          <c:dPt>
            <c:idx val="1"/>
          </c:dPt>
          <c:dPt>
            <c:idx val="2"/>
          </c:dPt>
          <c:dPt>
            <c:idx val="3"/>
          </c:dPt>
          <c:dPt>
            <c:idx val="4"/>
          </c:dPt>
          <c:dLbls>
            <c:dLbl>
              <c:idx val="0"/>
              <c:numFmt formatCode="General" sourceLinked="0"/>
              <c:txPr>
                <a:bodyPr/>
                <a:lstStyle/>
                <a:p>
                  <a:pPr lvl="0">
                    <a:defRPr sz="1800"/>
                  </a:pPr>
                </a:p>
              </c:txPr>
              <c:showLegendKey val="0"/>
              <c:showVal val="1"/>
              <c:showCatName val="0"/>
              <c:showSerName val="0"/>
              <c:showPercent val="0"/>
              <c:showBubbleSize val="0"/>
            </c:dLbl>
            <c:dLbl>
              <c:idx val="1"/>
              <c:numFmt formatCode="General" sourceLinked="0"/>
              <c:txPr>
                <a:bodyPr/>
                <a:lstStyle/>
                <a:p>
                  <a:pPr lvl="0">
                    <a:defRPr sz="1800"/>
                  </a:pPr>
                </a:p>
              </c:txPr>
              <c:showLegendKey val="0"/>
              <c:showVal val="1"/>
              <c:showCatName val="0"/>
              <c:showSerName val="0"/>
              <c:showPercent val="0"/>
              <c:showBubbleSize val="0"/>
            </c:dLbl>
            <c:dLbl>
              <c:idx val="2"/>
              <c:numFmt formatCode="General" sourceLinked="0"/>
              <c:txPr>
                <a:bodyPr/>
                <a:lstStyle/>
                <a:p>
                  <a:pPr lvl="0">
                    <a:defRPr sz="1800"/>
                  </a:pPr>
                </a:p>
              </c:txPr>
              <c:showLegendKey val="0"/>
              <c:showVal val="1"/>
              <c:showCatName val="0"/>
              <c:showSerName val="0"/>
              <c:showPercent val="0"/>
              <c:showBubbleSize val="0"/>
            </c:dLbl>
            <c:dLbl>
              <c:idx val="3"/>
              <c:numFmt formatCode="General" sourceLinked="0"/>
              <c:txPr>
                <a:bodyPr/>
                <a:lstStyle/>
                <a:p>
                  <a:pPr lvl="0">
                    <a:defRPr sz="1800"/>
                  </a:pPr>
                </a:p>
              </c:txPr>
              <c:showLegendKey val="0"/>
              <c:showVal val="1"/>
              <c:showCatName val="0"/>
              <c:showSerName val="0"/>
              <c:showPercent val="0"/>
              <c:showBubbleSize val="0"/>
            </c:dLbl>
            <c:dLbl>
              <c:idx val="4"/>
              <c:numFmt formatCode="General" sourceLinked="0"/>
              <c:txPr>
                <a:bodyPr/>
                <a:lstStyle/>
                <a:p>
                  <a:pPr lvl="0">
                    <a:defRPr sz="1800"/>
                  </a:pPr>
                </a:p>
              </c:txPr>
              <c:showLegendKey val="0"/>
              <c:showVal val="1"/>
              <c:showCatName val="0"/>
              <c:showSerName val="0"/>
              <c:showPercent val="0"/>
              <c:showBubbleSize val="0"/>
            </c:dLbl>
            <c:numFmt formatCode="General" sourceLinked="0"/>
            <c:txPr>
              <a:bodyPr/>
              <a:lstStyle/>
              <a:p>
                <a:pPr lvl="0">
                  <a:defRPr/>
                </a:pPr>
              </a:p>
            </c:txPr>
            <c:showLegendKey val="0"/>
            <c:showVal val="1"/>
            <c:showCatName val="0"/>
            <c:showSerName val="0"/>
            <c:showPercent val="0"/>
            <c:showBubbleSize val="0"/>
          </c:dLbls>
          <c:cat>
            <c:strRef>
              <c:f>Scoring!$A$36:$A$40</c:f>
            </c:strRef>
          </c:cat>
          <c:val>
            <c:numRef>
              <c:f>Scoring!$B$36:$B$40</c:f>
              <c:numCache/>
            </c:numRef>
          </c:val>
        </c:ser>
        <c:ser>
          <c:idx val="1"/>
          <c:order val="1"/>
          <c:tx>
            <c:strRef>
              <c:f>Scoring!$C$35</c:f>
            </c:strRef>
          </c:tx>
          <c:spPr>
            <a:solidFill>
              <a:srgbClr val="980000"/>
            </a:solidFill>
            <a:ln cmpd="sng">
              <a:solidFill>
                <a:srgbClr val="000000"/>
              </a:solidFill>
            </a:ln>
          </c:spPr>
          <c:dPt>
            <c:idx val="0"/>
          </c:dPt>
          <c:dPt>
            <c:idx val="1"/>
          </c:dPt>
          <c:dPt>
            <c:idx val="2"/>
          </c:dPt>
          <c:dPt>
            <c:idx val="3"/>
          </c:dPt>
          <c:dPt>
            <c:idx val="4"/>
          </c:dPt>
          <c:dLbls>
            <c:dLbl>
              <c:idx val="0"/>
              <c:numFmt formatCode="General" sourceLinked="1"/>
              <c:txPr>
                <a:bodyPr/>
                <a:lstStyle/>
                <a:p>
                  <a:pPr lvl="0">
                    <a:defRPr sz="1800"/>
                  </a:pPr>
                </a:p>
              </c:txPr>
              <c:showLegendKey val="0"/>
              <c:showVal val="1"/>
              <c:showCatName val="0"/>
              <c:showSerName val="0"/>
              <c:showPercent val="0"/>
              <c:showBubbleSize val="0"/>
            </c:dLbl>
            <c:dLbl>
              <c:idx val="1"/>
              <c:numFmt formatCode="General" sourceLinked="1"/>
              <c:txPr>
                <a:bodyPr/>
                <a:lstStyle/>
                <a:p>
                  <a:pPr lvl="0">
                    <a:defRPr sz="1800"/>
                  </a:pPr>
                </a:p>
              </c:txPr>
              <c:showLegendKey val="0"/>
              <c:showVal val="1"/>
              <c:showCatName val="0"/>
              <c:showSerName val="0"/>
              <c:showPercent val="0"/>
              <c:showBubbleSize val="0"/>
            </c:dLbl>
            <c:dLbl>
              <c:idx val="2"/>
              <c:numFmt formatCode="General" sourceLinked="1"/>
              <c:txPr>
                <a:bodyPr/>
                <a:lstStyle/>
                <a:p>
                  <a:pPr lvl="0">
                    <a:defRPr sz="1800"/>
                  </a:pPr>
                </a:p>
              </c:txPr>
              <c:showLegendKey val="0"/>
              <c:showVal val="1"/>
              <c:showCatName val="0"/>
              <c:showSerName val="0"/>
              <c:showPercent val="0"/>
              <c:showBubbleSize val="0"/>
            </c:dLbl>
            <c:dLbl>
              <c:idx val="3"/>
              <c:numFmt formatCode="General" sourceLinked="1"/>
              <c:txPr>
                <a:bodyPr/>
                <a:lstStyle/>
                <a:p>
                  <a:pPr lvl="0">
                    <a:defRPr sz="1800"/>
                  </a:pPr>
                </a:p>
              </c:txPr>
              <c:showLegendKey val="0"/>
              <c:showVal val="1"/>
              <c:showCatName val="0"/>
              <c:showSerName val="0"/>
              <c:showPercent val="0"/>
              <c:showBubbleSize val="0"/>
            </c:dLbl>
            <c:dLbl>
              <c:idx val="4"/>
              <c:numFmt formatCode="General" sourceLinked="1"/>
              <c:txPr>
                <a:bodyPr/>
                <a:lstStyle/>
                <a:p>
                  <a:pPr lvl="0">
                    <a:defRPr sz="1800"/>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Scoring!$A$36:$A$40</c:f>
            </c:strRef>
          </c:cat>
          <c:val>
            <c:numRef>
              <c:f>Scoring!$C$36:$C$40</c:f>
              <c:numCache/>
            </c:numRef>
          </c:val>
        </c:ser>
        <c:axId val="1879005821"/>
        <c:axId val="7981423"/>
      </c:barChart>
      <c:catAx>
        <c:axId val="18790058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800">
                <a:solidFill>
                  <a:srgbClr val="000000"/>
                </a:solidFill>
                <a:latin typeface="+mn-lt"/>
              </a:defRPr>
            </a:pPr>
          </a:p>
        </c:txPr>
        <c:crossAx val="7981423"/>
      </c:catAx>
      <c:valAx>
        <c:axId val="7981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800">
                <a:solidFill>
                  <a:srgbClr val="000000"/>
                </a:solidFill>
                <a:latin typeface="+mn-lt"/>
              </a:defRPr>
            </a:pPr>
          </a:p>
        </c:txPr>
        <c:crossAx val="1879005821"/>
      </c:valAx>
    </c:plotArea>
    <c:legend>
      <c:legendPos val="r"/>
      <c:overlay val="0"/>
      <c:txPr>
        <a:bodyPr/>
        <a:lstStyle/>
        <a:p>
          <a:pPr lvl="0">
            <a:defRPr b="0" sz="18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371475</xdr:colOff>
      <xdr:row>25</xdr:row>
      <xdr:rowOff>38100</xdr:rowOff>
    </xdr:from>
    <xdr:ext cx="5715000" cy="3533775"/>
    <xdr:graphicFrame>
      <xdr:nvGraphicFramePr>
        <xdr:cNvPr id="1333939714"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12.0"/>
    <col customWidth="1" min="3" max="3" width="14.0"/>
    <col customWidth="1" min="4" max="4" width="12.0"/>
    <col customWidth="1" min="5" max="5" width="16.0"/>
    <col customWidth="1" min="6" max="8" width="12.0"/>
    <col customWidth="1" min="9" max="9" width="14.0"/>
    <col customWidth="1" min="10" max="10" width="12.0"/>
    <col customWidth="1" min="11" max="11" width="16.0"/>
    <col customWidth="1" min="12" max="14" width="12.0"/>
    <col customWidth="1" min="15" max="15" width="34.0"/>
    <col customWidth="1" min="16" max="26" width="8.71"/>
  </cols>
  <sheetData>
    <row r="1" ht="3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4.0" customHeight="1">
      <c r="A2" s="2" t="s">
        <v>15</v>
      </c>
      <c r="B2" s="3">
        <v>1.0</v>
      </c>
      <c r="C2" s="3">
        <v>1.0</v>
      </c>
      <c r="D2" s="3">
        <v>2.0</v>
      </c>
      <c r="E2" s="3">
        <v>2.0</v>
      </c>
      <c r="F2" s="3">
        <v>1.0</v>
      </c>
      <c r="G2" s="4">
        <f t="shared" ref="G2:G21" si="1">SUM(B2:F2)</f>
        <v>7</v>
      </c>
      <c r="H2" s="3">
        <v>1.0</v>
      </c>
      <c r="I2" s="3">
        <v>1.0</v>
      </c>
      <c r="J2" s="3">
        <v>2.0</v>
      </c>
      <c r="K2" s="3">
        <v>2.0</v>
      </c>
      <c r="L2" s="3">
        <v>1.0</v>
      </c>
      <c r="M2" s="4">
        <f t="shared" ref="M2:M21" si="2">SUM(H2:L2)</f>
        <v>7</v>
      </c>
      <c r="N2" s="4">
        <f t="shared" ref="N2:N21" si="3">G2-M2</f>
        <v>0</v>
      </c>
      <c r="O2" s="5" t="s">
        <v>16</v>
      </c>
    </row>
    <row r="3" ht="24.0" customHeight="1">
      <c r="A3" s="2" t="s">
        <v>17</v>
      </c>
      <c r="B3" s="3">
        <v>1.0</v>
      </c>
      <c r="C3" s="3">
        <v>1.0</v>
      </c>
      <c r="D3" s="3">
        <v>2.0</v>
      </c>
      <c r="E3" s="3">
        <v>2.0</v>
      </c>
      <c r="F3" s="3">
        <v>1.0</v>
      </c>
      <c r="G3" s="4">
        <f t="shared" si="1"/>
        <v>7</v>
      </c>
      <c r="H3" s="3">
        <v>0.0</v>
      </c>
      <c r="I3" s="3">
        <v>0.0</v>
      </c>
      <c r="J3" s="3">
        <v>2.0</v>
      </c>
      <c r="K3" s="3">
        <v>2.0</v>
      </c>
      <c r="L3" s="3">
        <v>1.0</v>
      </c>
      <c r="M3" s="4">
        <f t="shared" si="2"/>
        <v>5</v>
      </c>
      <c r="N3" s="4">
        <f t="shared" si="3"/>
        <v>2</v>
      </c>
      <c r="O3" s="5" t="s">
        <v>18</v>
      </c>
    </row>
    <row r="4" ht="24.0" customHeight="1">
      <c r="A4" s="2" t="s">
        <v>19</v>
      </c>
      <c r="B4" s="3">
        <v>2.0</v>
      </c>
      <c r="C4" s="3">
        <v>2.0</v>
      </c>
      <c r="D4" s="3">
        <v>2.0</v>
      </c>
      <c r="E4" s="3">
        <v>2.0</v>
      </c>
      <c r="F4" s="3">
        <v>1.0</v>
      </c>
      <c r="G4" s="4">
        <f t="shared" si="1"/>
        <v>9</v>
      </c>
      <c r="H4" s="3">
        <v>0.0</v>
      </c>
      <c r="I4" s="3">
        <v>0.0</v>
      </c>
      <c r="J4" s="3">
        <v>1.0</v>
      </c>
      <c r="K4" s="3">
        <v>1.0</v>
      </c>
      <c r="L4" s="3">
        <v>1.0</v>
      </c>
      <c r="M4" s="4">
        <f t="shared" si="2"/>
        <v>3</v>
      </c>
      <c r="N4" s="4">
        <f t="shared" si="3"/>
        <v>6</v>
      </c>
      <c r="O4" s="5" t="s">
        <v>20</v>
      </c>
    </row>
    <row r="5" ht="24.0" customHeight="1">
      <c r="A5" s="2" t="s">
        <v>21</v>
      </c>
      <c r="B5" s="3">
        <v>0.0</v>
      </c>
      <c r="C5" s="3">
        <v>0.0</v>
      </c>
      <c r="D5" s="3">
        <v>1.0</v>
      </c>
      <c r="E5" s="3">
        <v>2.0</v>
      </c>
      <c r="F5" s="3">
        <v>1.0</v>
      </c>
      <c r="G5" s="4">
        <f t="shared" si="1"/>
        <v>4</v>
      </c>
      <c r="H5" s="3">
        <v>1.0</v>
      </c>
      <c r="I5" s="3">
        <v>1.0</v>
      </c>
      <c r="J5" s="3">
        <v>2.0</v>
      </c>
      <c r="K5" s="3">
        <v>2.0</v>
      </c>
      <c r="L5" s="3">
        <v>2.0</v>
      </c>
      <c r="M5" s="4">
        <f t="shared" si="2"/>
        <v>8</v>
      </c>
      <c r="N5" s="4">
        <f t="shared" si="3"/>
        <v>-4</v>
      </c>
      <c r="O5" s="5" t="s">
        <v>22</v>
      </c>
    </row>
    <row r="6" ht="24.0" customHeight="1">
      <c r="A6" s="2" t="s">
        <v>23</v>
      </c>
      <c r="B6" s="3">
        <v>0.0</v>
      </c>
      <c r="C6" s="3">
        <v>0.0</v>
      </c>
      <c r="D6" s="3">
        <v>0.0</v>
      </c>
      <c r="E6" s="3">
        <v>1.0</v>
      </c>
      <c r="F6" s="3">
        <v>1.0</v>
      </c>
      <c r="G6" s="4">
        <f t="shared" si="1"/>
        <v>2</v>
      </c>
      <c r="H6" s="3">
        <v>1.0</v>
      </c>
      <c r="I6" s="3">
        <v>1.0</v>
      </c>
      <c r="J6" s="3">
        <v>2.0</v>
      </c>
      <c r="K6" s="3">
        <v>2.0</v>
      </c>
      <c r="L6" s="3">
        <v>1.0</v>
      </c>
      <c r="M6" s="4">
        <f t="shared" si="2"/>
        <v>7</v>
      </c>
      <c r="N6" s="4">
        <f t="shared" si="3"/>
        <v>-5</v>
      </c>
      <c r="O6" s="5" t="s">
        <v>24</v>
      </c>
    </row>
    <row r="7" ht="24.0" customHeight="1">
      <c r="A7" s="2" t="s">
        <v>25</v>
      </c>
      <c r="B7" s="3">
        <v>2.0</v>
      </c>
      <c r="C7" s="3">
        <v>2.0</v>
      </c>
      <c r="D7" s="3">
        <v>2.0</v>
      </c>
      <c r="E7" s="3">
        <v>2.0</v>
      </c>
      <c r="F7" s="3">
        <v>1.0</v>
      </c>
      <c r="G7" s="4">
        <f t="shared" si="1"/>
        <v>9</v>
      </c>
      <c r="H7" s="3">
        <v>0.0</v>
      </c>
      <c r="I7" s="3">
        <v>0.0</v>
      </c>
      <c r="J7" s="3">
        <v>1.0</v>
      </c>
      <c r="K7" s="3">
        <v>1.0</v>
      </c>
      <c r="L7" s="3">
        <v>0.0</v>
      </c>
      <c r="M7" s="4">
        <f t="shared" si="2"/>
        <v>2</v>
      </c>
      <c r="N7" s="4">
        <f t="shared" si="3"/>
        <v>7</v>
      </c>
      <c r="O7" s="5" t="s">
        <v>26</v>
      </c>
    </row>
    <row r="8" ht="24.0" customHeight="1">
      <c r="A8" s="2" t="s">
        <v>27</v>
      </c>
      <c r="B8" s="3">
        <v>2.0</v>
      </c>
      <c r="C8" s="3">
        <v>2.0</v>
      </c>
      <c r="D8" s="3">
        <v>2.0</v>
      </c>
      <c r="E8" s="3">
        <v>2.0</v>
      </c>
      <c r="F8" s="3">
        <v>1.0</v>
      </c>
      <c r="G8" s="4">
        <f t="shared" si="1"/>
        <v>9</v>
      </c>
      <c r="H8" s="3">
        <v>2.0</v>
      </c>
      <c r="I8" s="3">
        <v>2.0</v>
      </c>
      <c r="J8" s="3">
        <v>2.0</v>
      </c>
      <c r="K8" s="3">
        <v>2.0</v>
      </c>
      <c r="L8" s="3">
        <v>2.0</v>
      </c>
      <c r="M8" s="4">
        <f t="shared" si="2"/>
        <v>10</v>
      </c>
      <c r="N8" s="4">
        <f t="shared" si="3"/>
        <v>-1</v>
      </c>
      <c r="O8" s="5" t="s">
        <v>28</v>
      </c>
    </row>
    <row r="9" ht="24.0" customHeight="1">
      <c r="A9" s="2" t="s">
        <v>29</v>
      </c>
      <c r="B9" s="3">
        <v>2.0</v>
      </c>
      <c r="C9" s="3">
        <v>2.0</v>
      </c>
      <c r="D9" s="3">
        <v>2.0</v>
      </c>
      <c r="E9" s="3">
        <v>2.0</v>
      </c>
      <c r="F9" s="3">
        <v>1.0</v>
      </c>
      <c r="G9" s="4">
        <f t="shared" si="1"/>
        <v>9</v>
      </c>
      <c r="H9" s="3">
        <v>1.0</v>
      </c>
      <c r="I9" s="3">
        <v>1.0</v>
      </c>
      <c r="J9" s="3">
        <v>2.0</v>
      </c>
      <c r="K9" s="3">
        <v>2.0</v>
      </c>
      <c r="L9" s="3">
        <v>1.0</v>
      </c>
      <c r="M9" s="4">
        <f t="shared" si="2"/>
        <v>7</v>
      </c>
      <c r="N9" s="4">
        <f t="shared" si="3"/>
        <v>2</v>
      </c>
      <c r="O9" s="5" t="s">
        <v>30</v>
      </c>
    </row>
    <row r="10" ht="24.0" customHeight="1">
      <c r="A10" s="2" t="s">
        <v>31</v>
      </c>
      <c r="B10" s="3">
        <v>0.0</v>
      </c>
      <c r="C10" s="3">
        <v>0.0</v>
      </c>
      <c r="D10" s="3">
        <v>1.0</v>
      </c>
      <c r="E10" s="3">
        <v>2.0</v>
      </c>
      <c r="F10" s="3">
        <v>1.0</v>
      </c>
      <c r="G10" s="4">
        <f t="shared" si="1"/>
        <v>4</v>
      </c>
      <c r="H10" s="3">
        <v>0.0</v>
      </c>
      <c r="I10" s="3">
        <v>0.0</v>
      </c>
      <c r="J10" s="3">
        <v>2.0</v>
      </c>
      <c r="K10" s="3">
        <v>2.0</v>
      </c>
      <c r="L10" s="3">
        <v>1.0</v>
      </c>
      <c r="M10" s="4">
        <f t="shared" si="2"/>
        <v>5</v>
      </c>
      <c r="N10" s="4">
        <f t="shared" si="3"/>
        <v>-1</v>
      </c>
      <c r="O10" s="5" t="s">
        <v>32</v>
      </c>
    </row>
    <row r="11" ht="24.0" customHeight="1">
      <c r="A11" s="2" t="s">
        <v>33</v>
      </c>
      <c r="B11" s="3">
        <v>1.0</v>
      </c>
      <c r="C11" s="3">
        <v>1.0</v>
      </c>
      <c r="D11" s="3">
        <v>1.0</v>
      </c>
      <c r="E11" s="3">
        <v>2.0</v>
      </c>
      <c r="F11" s="3">
        <v>1.0</v>
      </c>
      <c r="G11" s="4">
        <f t="shared" si="1"/>
        <v>6</v>
      </c>
      <c r="H11" s="3">
        <v>1.0</v>
      </c>
      <c r="I11" s="3">
        <v>1.0</v>
      </c>
      <c r="J11" s="3">
        <v>2.0</v>
      </c>
      <c r="K11" s="3">
        <v>2.0</v>
      </c>
      <c r="L11" s="3">
        <v>1.0</v>
      </c>
      <c r="M11" s="4">
        <f t="shared" si="2"/>
        <v>7</v>
      </c>
      <c r="N11" s="4">
        <f t="shared" si="3"/>
        <v>-1</v>
      </c>
      <c r="O11" s="6"/>
    </row>
    <row r="12" ht="24.0" customHeight="1">
      <c r="A12" s="2" t="s">
        <v>34</v>
      </c>
      <c r="B12" s="3">
        <v>2.0</v>
      </c>
      <c r="C12" s="3">
        <v>2.0</v>
      </c>
      <c r="D12" s="3">
        <v>2.0</v>
      </c>
      <c r="E12" s="3">
        <v>2.0</v>
      </c>
      <c r="F12" s="3">
        <v>1.0</v>
      </c>
      <c r="G12" s="4">
        <f t="shared" si="1"/>
        <v>9</v>
      </c>
      <c r="H12" s="3">
        <v>2.0</v>
      </c>
      <c r="I12" s="3">
        <v>2.0</v>
      </c>
      <c r="J12" s="3">
        <v>2.0</v>
      </c>
      <c r="K12" s="3">
        <v>2.0</v>
      </c>
      <c r="L12" s="3">
        <v>2.0</v>
      </c>
      <c r="M12" s="4">
        <f t="shared" si="2"/>
        <v>10</v>
      </c>
      <c r="N12" s="4">
        <f t="shared" si="3"/>
        <v>-1</v>
      </c>
      <c r="O12" s="6"/>
    </row>
    <row r="13" ht="24.0" customHeight="1">
      <c r="A13" s="2" t="s">
        <v>35</v>
      </c>
      <c r="B13" s="3">
        <v>1.0</v>
      </c>
      <c r="C13" s="3">
        <v>2.0</v>
      </c>
      <c r="D13" s="3">
        <v>1.0</v>
      </c>
      <c r="E13" s="3">
        <v>1.0</v>
      </c>
      <c r="F13" s="3">
        <v>2.0</v>
      </c>
      <c r="G13" s="4">
        <f t="shared" si="1"/>
        <v>7</v>
      </c>
      <c r="H13" s="3">
        <v>0.0</v>
      </c>
      <c r="I13" s="3">
        <v>0.0</v>
      </c>
      <c r="J13" s="3">
        <v>1.0</v>
      </c>
      <c r="K13" s="3">
        <v>1.0</v>
      </c>
      <c r="L13" s="3">
        <v>2.0</v>
      </c>
      <c r="M13" s="4">
        <f t="shared" si="2"/>
        <v>4</v>
      </c>
      <c r="N13" s="4">
        <f t="shared" si="3"/>
        <v>3</v>
      </c>
      <c r="O13" s="5" t="s">
        <v>36</v>
      </c>
    </row>
    <row r="14" ht="24.0" customHeight="1">
      <c r="A14" s="2" t="s">
        <v>37</v>
      </c>
      <c r="B14" s="3">
        <v>1.0</v>
      </c>
      <c r="C14" s="3">
        <v>1.0</v>
      </c>
      <c r="D14" s="3">
        <v>2.0</v>
      </c>
      <c r="E14" s="3">
        <v>2.0</v>
      </c>
      <c r="F14" s="3">
        <v>1.0</v>
      </c>
      <c r="G14" s="4">
        <f t="shared" si="1"/>
        <v>7</v>
      </c>
      <c r="H14" s="3">
        <v>1.0</v>
      </c>
      <c r="I14" s="3">
        <v>1.0</v>
      </c>
      <c r="J14" s="3">
        <v>1.0</v>
      </c>
      <c r="K14" s="3">
        <v>1.0</v>
      </c>
      <c r="L14" s="3">
        <v>1.0</v>
      </c>
      <c r="M14" s="4">
        <f t="shared" si="2"/>
        <v>5</v>
      </c>
      <c r="N14" s="4">
        <f t="shared" si="3"/>
        <v>2</v>
      </c>
      <c r="O14" s="5" t="s">
        <v>38</v>
      </c>
    </row>
    <row r="15" ht="24.0" customHeight="1">
      <c r="A15" s="2" t="s">
        <v>39</v>
      </c>
      <c r="B15" s="3">
        <v>0.0</v>
      </c>
      <c r="C15" s="3">
        <v>0.0</v>
      </c>
      <c r="D15" s="3">
        <v>1.0</v>
      </c>
      <c r="E15" s="3">
        <v>2.0</v>
      </c>
      <c r="F15" s="3">
        <v>1.0</v>
      </c>
      <c r="G15" s="4">
        <f t="shared" si="1"/>
        <v>4</v>
      </c>
      <c r="H15" s="3">
        <v>0.0</v>
      </c>
      <c r="I15" s="3">
        <v>0.0</v>
      </c>
      <c r="J15" s="3">
        <v>1.0</v>
      </c>
      <c r="K15" s="3">
        <v>1.0</v>
      </c>
      <c r="L15" s="3">
        <v>1.0</v>
      </c>
      <c r="M15" s="4">
        <f t="shared" si="2"/>
        <v>3</v>
      </c>
      <c r="N15" s="4">
        <f t="shared" si="3"/>
        <v>1</v>
      </c>
      <c r="O15" s="5" t="s">
        <v>40</v>
      </c>
    </row>
    <row r="16" ht="24.0" customHeight="1">
      <c r="A16" s="2" t="s">
        <v>41</v>
      </c>
      <c r="B16" s="3">
        <v>0.0</v>
      </c>
      <c r="C16" s="3">
        <v>0.0</v>
      </c>
      <c r="D16" s="3">
        <v>1.0</v>
      </c>
      <c r="E16" s="3">
        <v>2.0</v>
      </c>
      <c r="F16" s="3">
        <v>1.0</v>
      </c>
      <c r="G16" s="4">
        <f t="shared" si="1"/>
        <v>4</v>
      </c>
      <c r="H16" s="3">
        <v>0.0</v>
      </c>
      <c r="I16" s="3">
        <v>0.0</v>
      </c>
      <c r="J16" s="3">
        <v>1.0</v>
      </c>
      <c r="K16" s="3">
        <v>1.0</v>
      </c>
      <c r="L16" s="3">
        <v>1.0</v>
      </c>
      <c r="M16" s="4">
        <f t="shared" si="2"/>
        <v>3</v>
      </c>
      <c r="N16" s="4">
        <f t="shared" si="3"/>
        <v>1</v>
      </c>
      <c r="O16" s="5" t="s">
        <v>42</v>
      </c>
    </row>
    <row r="17" ht="24.0" customHeight="1">
      <c r="A17" s="2" t="s">
        <v>43</v>
      </c>
      <c r="B17" s="3">
        <v>1.0</v>
      </c>
      <c r="C17" s="3">
        <v>1.0</v>
      </c>
      <c r="D17" s="3">
        <v>2.0</v>
      </c>
      <c r="E17" s="3">
        <v>2.0</v>
      </c>
      <c r="F17" s="3">
        <v>1.0</v>
      </c>
      <c r="G17" s="4">
        <f t="shared" si="1"/>
        <v>7</v>
      </c>
      <c r="H17" s="3">
        <v>0.0</v>
      </c>
      <c r="I17" s="3">
        <v>0.0</v>
      </c>
      <c r="J17" s="3">
        <v>1.0</v>
      </c>
      <c r="K17" s="3">
        <v>2.0</v>
      </c>
      <c r="L17" s="3">
        <v>1.0</v>
      </c>
      <c r="M17" s="4">
        <f t="shared" si="2"/>
        <v>4</v>
      </c>
      <c r="N17" s="4">
        <f t="shared" si="3"/>
        <v>3</v>
      </c>
      <c r="O17" s="5" t="s">
        <v>44</v>
      </c>
    </row>
    <row r="18" ht="24.0" customHeight="1">
      <c r="A18" s="2" t="s">
        <v>45</v>
      </c>
      <c r="B18" s="3">
        <v>0.0</v>
      </c>
      <c r="C18" s="3">
        <v>0.0</v>
      </c>
      <c r="D18" s="3">
        <v>1.0</v>
      </c>
      <c r="E18" s="3">
        <v>1.0</v>
      </c>
      <c r="F18" s="3">
        <v>1.0</v>
      </c>
      <c r="G18" s="4">
        <f t="shared" si="1"/>
        <v>3</v>
      </c>
      <c r="H18" s="3">
        <v>1.0</v>
      </c>
      <c r="I18" s="3">
        <v>1.0</v>
      </c>
      <c r="J18" s="3">
        <v>2.0</v>
      </c>
      <c r="K18" s="3">
        <v>2.0</v>
      </c>
      <c r="L18" s="3">
        <v>2.0</v>
      </c>
      <c r="M18" s="4">
        <f t="shared" si="2"/>
        <v>8</v>
      </c>
      <c r="N18" s="4">
        <f t="shared" si="3"/>
        <v>-5</v>
      </c>
      <c r="O18" s="5" t="s">
        <v>46</v>
      </c>
    </row>
    <row r="19" ht="24.0" customHeight="1">
      <c r="A19" s="2" t="s">
        <v>47</v>
      </c>
      <c r="B19" s="3">
        <v>1.0</v>
      </c>
      <c r="C19" s="3">
        <v>1.0</v>
      </c>
      <c r="D19" s="3">
        <v>0.0</v>
      </c>
      <c r="E19" s="3">
        <v>2.0</v>
      </c>
      <c r="F19" s="3">
        <v>0.0</v>
      </c>
      <c r="G19" s="4">
        <f t="shared" si="1"/>
        <v>4</v>
      </c>
      <c r="H19" s="3">
        <v>1.0</v>
      </c>
      <c r="I19" s="3">
        <v>1.0</v>
      </c>
      <c r="J19" s="3">
        <v>0.0</v>
      </c>
      <c r="K19" s="3">
        <v>2.0</v>
      </c>
      <c r="L19" s="3">
        <v>0.0</v>
      </c>
      <c r="M19" s="4">
        <f t="shared" si="2"/>
        <v>4</v>
      </c>
      <c r="N19" s="4">
        <f t="shared" si="3"/>
        <v>0</v>
      </c>
      <c r="O19" s="5" t="s">
        <v>48</v>
      </c>
    </row>
    <row r="20" ht="24.0" customHeight="1">
      <c r="A20" s="2" t="s">
        <v>49</v>
      </c>
      <c r="B20" s="3">
        <v>2.0</v>
      </c>
      <c r="C20" s="3">
        <v>2.0</v>
      </c>
      <c r="D20" s="3">
        <v>2.0</v>
      </c>
      <c r="E20" s="3">
        <v>2.0</v>
      </c>
      <c r="F20" s="3">
        <v>1.0</v>
      </c>
      <c r="G20" s="4">
        <f t="shared" si="1"/>
        <v>9</v>
      </c>
      <c r="H20" s="3">
        <v>0.0</v>
      </c>
      <c r="I20" s="3">
        <v>0.0</v>
      </c>
      <c r="J20" s="3">
        <v>1.0</v>
      </c>
      <c r="K20" s="3">
        <v>2.0</v>
      </c>
      <c r="L20" s="3">
        <v>1.0</v>
      </c>
      <c r="M20" s="4">
        <f t="shared" si="2"/>
        <v>4</v>
      </c>
      <c r="N20" s="4">
        <f t="shared" si="3"/>
        <v>5</v>
      </c>
      <c r="O20" s="5" t="s">
        <v>50</v>
      </c>
    </row>
    <row r="21" ht="24.0" customHeight="1">
      <c r="A21" s="2" t="s">
        <v>51</v>
      </c>
      <c r="B21" s="3">
        <v>0.0</v>
      </c>
      <c r="C21" s="3">
        <v>0.0</v>
      </c>
      <c r="D21" s="3">
        <v>1.0</v>
      </c>
      <c r="E21" s="3">
        <v>2.0</v>
      </c>
      <c r="F21" s="3">
        <v>1.0</v>
      </c>
      <c r="G21" s="4">
        <f t="shared" si="1"/>
        <v>4</v>
      </c>
      <c r="H21" s="3">
        <v>0.0</v>
      </c>
      <c r="I21" s="3">
        <v>0.0</v>
      </c>
      <c r="J21" s="3">
        <v>1.0</v>
      </c>
      <c r="K21" s="3">
        <v>2.0</v>
      </c>
      <c r="L21" s="3">
        <v>1.0</v>
      </c>
      <c r="M21" s="4">
        <f t="shared" si="2"/>
        <v>4</v>
      </c>
      <c r="N21" s="4">
        <f t="shared" si="3"/>
        <v>0</v>
      </c>
      <c r="O21" s="5" t="s">
        <v>52</v>
      </c>
    </row>
    <row r="22" ht="15.75" customHeight="1">
      <c r="A22" s="7" t="s">
        <v>53</v>
      </c>
      <c r="B22" s="8" t="s">
        <v>54</v>
      </c>
      <c r="O22" s="9"/>
    </row>
    <row r="23" ht="15.75" customHeight="1"/>
    <row r="24" ht="15.75" customHeight="1">
      <c r="A24" s="10" t="s">
        <v>55</v>
      </c>
    </row>
    <row r="25" ht="15.75" customHeight="1">
      <c r="A25" s="7" t="s">
        <v>56</v>
      </c>
      <c r="B25" s="11">
        <f>AVERAGE(G2:G21)</f>
        <v>6.2</v>
      </c>
    </row>
    <row r="26" ht="15.75" customHeight="1">
      <c r="A26" s="12" t="s">
        <v>57</v>
      </c>
      <c r="B26" s="11">
        <f>AVERAGE(M2:M21)</f>
        <v>5.5</v>
      </c>
    </row>
    <row r="27" ht="15.75" customHeight="1">
      <c r="A27" s="12" t="s">
        <v>58</v>
      </c>
      <c r="B27" s="11">
        <f>AVERAGE(N2:N21)</f>
        <v>0.7</v>
      </c>
    </row>
    <row r="28" ht="15.75" customHeight="1">
      <c r="A28" s="12" t="s">
        <v>59</v>
      </c>
      <c r="B28" s="11">
        <f>COUNTIF(N2:N21,"&gt;0")</f>
        <v>10</v>
      </c>
    </row>
    <row r="29" ht="15.75" customHeight="1">
      <c r="A29" s="12" t="s">
        <v>60</v>
      </c>
      <c r="B29" s="11">
        <f>COUNTIF(N2:N21,"=0")</f>
        <v>3</v>
      </c>
    </row>
    <row r="30" ht="15.75" customHeight="1">
      <c r="A30" s="12" t="s">
        <v>61</v>
      </c>
      <c r="B30" s="11">
        <f>COUNTIF(N2:N21,"&lt;0")</f>
        <v>7</v>
      </c>
    </row>
    <row r="31" ht="15.75" customHeight="1"/>
    <row r="32" ht="15.75" customHeight="1"/>
    <row r="33" ht="15.75" customHeight="1"/>
    <row r="34" ht="15.75" customHeight="1"/>
    <row r="35" ht="15.75" customHeight="1">
      <c r="A35" s="13" t="s">
        <v>62</v>
      </c>
      <c r="B35" s="13" t="s">
        <v>63</v>
      </c>
      <c r="C35" s="13" t="s">
        <v>64</v>
      </c>
    </row>
    <row r="36" ht="15.75" customHeight="1">
      <c r="A36" s="13" t="s">
        <v>65</v>
      </c>
      <c r="B36" s="13">
        <f>ROUND(AVERAGE(B2:B21),1)</f>
        <v>1</v>
      </c>
      <c r="C36" s="14">
        <f>AVERAGE(H2:H21)</f>
        <v>0.6</v>
      </c>
    </row>
    <row r="37" ht="15.75" customHeight="1">
      <c r="A37" s="13" t="s">
        <v>66</v>
      </c>
      <c r="B37" s="14">
        <f>AVERAGE(C2:C21)</f>
        <v>1</v>
      </c>
      <c r="C37" s="14">
        <f>AVERAGE(I2:I21)</f>
        <v>0.6</v>
      </c>
    </row>
    <row r="38" ht="15.75" customHeight="1">
      <c r="A38" s="13" t="s">
        <v>67</v>
      </c>
      <c r="B38" s="14">
        <f>AVERAGE(D2:D21)</f>
        <v>1.4</v>
      </c>
      <c r="C38" s="14">
        <f>ROUND(AVERAGE(J2:J21),1)</f>
        <v>1.5</v>
      </c>
    </row>
    <row r="39" ht="15.75" customHeight="1">
      <c r="A39" s="13" t="s">
        <v>68</v>
      </c>
      <c r="B39" s="14">
        <f>ROUND(AVERAGE(E2:E21),1)</f>
        <v>1.9</v>
      </c>
      <c r="C39" s="14">
        <f>AVERAGE(K2:K21)</f>
        <v>1.7</v>
      </c>
    </row>
    <row r="40" ht="15.75" customHeight="1">
      <c r="A40" s="13" t="s">
        <v>69</v>
      </c>
      <c r="B40" s="14">
        <f>AVERAGE(F2:F21)</f>
        <v>1</v>
      </c>
      <c r="C40" s="14">
        <f>ROUND(AVERAGE(L2:L21),1)</f>
        <v>1.2</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3" width="28.0"/>
    <col customWidth="1" min="4" max="4" width="34.0"/>
    <col customWidth="1" min="5" max="26" width="8.71"/>
  </cols>
  <sheetData>
    <row r="1" ht="27.75" customHeight="1">
      <c r="A1" s="15" t="s">
        <v>70</v>
      </c>
      <c r="B1" s="15" t="s">
        <v>71</v>
      </c>
      <c r="C1" s="15" t="s">
        <v>72</v>
      </c>
      <c r="D1" s="15" t="s">
        <v>73</v>
      </c>
    </row>
    <row r="2">
      <c r="A2" s="16" t="s">
        <v>65</v>
      </c>
      <c r="B2" s="17" t="s">
        <v>74</v>
      </c>
      <c r="C2" s="17" t="s">
        <v>75</v>
      </c>
      <c r="D2" s="17" t="s">
        <v>76</v>
      </c>
    </row>
    <row r="3">
      <c r="A3" s="16" t="s">
        <v>66</v>
      </c>
      <c r="B3" s="17" t="s">
        <v>77</v>
      </c>
      <c r="C3" s="17" t="s">
        <v>78</v>
      </c>
      <c r="D3" s="17" t="s">
        <v>79</v>
      </c>
    </row>
    <row r="4">
      <c r="A4" s="16" t="s">
        <v>67</v>
      </c>
      <c r="B4" s="17" t="s">
        <v>80</v>
      </c>
      <c r="C4" s="17" t="s">
        <v>81</v>
      </c>
      <c r="D4" s="17" t="s">
        <v>82</v>
      </c>
    </row>
    <row r="5">
      <c r="A5" s="16" t="s">
        <v>68</v>
      </c>
      <c r="B5" s="17" t="s">
        <v>83</v>
      </c>
      <c r="C5" s="17" t="s">
        <v>84</v>
      </c>
      <c r="D5" s="17" t="s">
        <v>85</v>
      </c>
    </row>
    <row r="6">
      <c r="A6" s="16" t="s">
        <v>69</v>
      </c>
      <c r="B6" s="17" t="s">
        <v>86</v>
      </c>
      <c r="C6" s="17" t="s">
        <v>87</v>
      </c>
      <c r="D6" s="17" t="s">
        <v>88</v>
      </c>
    </row>
    <row r="9">
      <c r="A9" s="18" t="s">
        <v>89</v>
      </c>
    </row>
    <row r="10" ht="54.75" customHeight="1">
      <c r="A10" s="17"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D1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2026-04-20T18:47:07Z</dcterms:created>
  <dc:creator>openpyxl</dc:creator>
</cp:coreProperties>
</file>